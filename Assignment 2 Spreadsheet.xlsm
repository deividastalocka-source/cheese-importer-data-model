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Unit 5 - Data Modelling\"/>
    </mc:Choice>
  </mc:AlternateContent>
  <xr:revisionPtr revIDLastSave="0" documentId="13_ncr:1_{D5270761-ABD2-4B7C-8EF7-E5F1CE51C11C}" xr6:coauthVersionLast="47" xr6:coauthVersionMax="47" xr10:uidLastSave="{00000000-0000-0000-0000-000000000000}"/>
  <bookViews>
    <workbookView xWindow="-120" yWindow="-120" windowWidth="21840" windowHeight="15840" activeTab="1" xr2:uid="{4EA4FBDE-54C4-49E9-88DE-32F2CE58CBFD}"/>
  </bookViews>
  <sheets>
    <sheet name="Main Menu" sheetId="1" r:id="rId1"/>
    <sheet name="Product &amp; Sales Data" sheetId="2" r:id="rId2"/>
    <sheet name="Graph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2" l="1"/>
  <c r="I32" i="2" s="1"/>
  <c r="I11" i="2"/>
  <c r="L13" i="2"/>
  <c r="R7" i="2"/>
  <c r="U7" i="2"/>
  <c r="L7" i="2"/>
  <c r="I7" i="2"/>
  <c r="U17" i="2"/>
  <c r="U9" i="2"/>
  <c r="U11" i="2"/>
  <c r="U13" i="2"/>
  <c r="U15" i="2"/>
  <c r="F36" i="2" l="1"/>
  <c r="F34" i="2"/>
  <c r="I34" i="2" s="1"/>
  <c r="L34" i="2" s="1"/>
  <c r="L32" i="2"/>
  <c r="F40" i="2"/>
  <c r="I40" i="2" s="1"/>
  <c r="L40" i="2" s="1"/>
  <c r="F38" i="2"/>
  <c r="I38" i="2" s="1"/>
  <c r="L38" i="2" s="1"/>
  <c r="I36" i="2" l="1"/>
  <c r="L36" i="2" s="1"/>
  <c r="P32" i="2" s="1"/>
  <c r="R9" i="2"/>
  <c r="R11" i="2"/>
  <c r="R13" i="2"/>
  <c r="R15" i="2"/>
  <c r="L9" i="2"/>
  <c r="L11" i="2"/>
  <c r="L15" i="2"/>
  <c r="I9" i="2" l="1"/>
  <c r="I13" i="2"/>
  <c r="I15" i="2"/>
</calcChain>
</file>

<file path=xl/sharedStrings.xml><?xml version="1.0" encoding="utf-8"?>
<sst xmlns="http://schemas.openxmlformats.org/spreadsheetml/2006/main" count="26" uniqueCount="21">
  <si>
    <t>Main Menu</t>
  </si>
  <si>
    <t>Cheese Type</t>
  </si>
  <si>
    <t>Camembert</t>
  </si>
  <si>
    <t>Emmental</t>
  </si>
  <si>
    <t>Gruyere</t>
  </si>
  <si>
    <t>Edam</t>
  </si>
  <si>
    <t>Gouda</t>
  </si>
  <si>
    <t>Cost Per KG (€)</t>
  </si>
  <si>
    <t>Exchange Rate</t>
  </si>
  <si>
    <t>Profit Margin</t>
  </si>
  <si>
    <t>Cost Per KG (£) 0.7 Exchange Rate</t>
  </si>
  <si>
    <t>Average Monthly Sales</t>
  </si>
  <si>
    <t>Total KG Sold</t>
  </si>
  <si>
    <t>Model Predictions:</t>
  </si>
  <si>
    <t>Cheese Type:</t>
  </si>
  <si>
    <t>New Cost Per KG (£)</t>
  </si>
  <si>
    <t>New Sales Price</t>
  </si>
  <si>
    <t>Sales Price 40% Profit Margin</t>
  </si>
  <si>
    <t>Profit Per KG</t>
  </si>
  <si>
    <t>Net Profit:</t>
  </si>
  <si>
    <t>Automated Decision: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</si>
</sst>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£&quot;#,##0.00;[Red]\-&quot;£&quot;#,##0.00"/>
    <numFmt numFmtId="164" formatCode="#,##0\ [$€-1];[Red]\-#,##0\ [$€-1]"/>
    <numFmt numFmtId="165" formatCode="0.0"/>
    <numFmt numFmtId="166" formatCode="0\%"/>
    <numFmt numFmtId="167" formatCode="_-[$£-809]* #,##0.00_-;\-[$£-809]* #,##0.00_-;_-[$£-809]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36"/>
      <color theme="1"/>
      <name val="Century Gothic"/>
      <family val="2"/>
    </font>
    <font>
      <sz val="22"/>
      <color theme="1"/>
      <name val="Century Gothic"/>
      <family val="2"/>
    </font>
    <font>
      <u/>
      <sz val="11"/>
      <color theme="10"/>
      <name val="Calibri"/>
      <family val="2"/>
      <scheme val="minor"/>
    </font>
    <font>
      <sz val="14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color theme="1"/>
      <name val="Century Gothic"/>
      <family val="2"/>
    </font>
    <font>
      <b/>
      <sz val="8"/>
      <color theme="1"/>
      <name val="Century Gothic"/>
      <family val="2"/>
    </font>
    <font>
      <sz val="12"/>
      <name val="Century Gothic"/>
      <family val="2"/>
    </font>
    <font>
      <sz val="11"/>
      <name val="Century Gothic"/>
      <family val="2"/>
    </font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0000"/>
      <name val="Century Gothic"/>
      <family val="2"/>
    </font>
    <font>
      <sz val="14"/>
      <color rgb="FF000000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11" fillId="0" borderId="0" applyFon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10" fillId="3" borderId="0" xfId="1" applyFont="1" applyFill="1" applyBorder="1" applyAlignment="1">
      <alignment vertical="center"/>
    </xf>
    <xf numFmtId="0" fontId="12" fillId="2" borderId="0" xfId="0" applyFont="1" applyFill="1"/>
    <xf numFmtId="0" fontId="3" fillId="3" borderId="0" xfId="0" applyFont="1" applyFill="1" applyAlignment="1">
      <alignment vertical="center"/>
    </xf>
    <xf numFmtId="8" fontId="0" fillId="3" borderId="0" xfId="0" applyNumberFormat="1" applyFill="1"/>
    <xf numFmtId="167" fontId="0" fillId="3" borderId="0" xfId="0" applyNumberFormat="1" applyFill="1"/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167" fontId="1" fillId="4" borderId="3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7" fontId="1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0" fillId="3" borderId="0" xfId="0" applyFill="1"/>
    <xf numFmtId="8" fontId="1" fillId="5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6" fillId="4" borderId="3" xfId="0" applyFont="1" applyFill="1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7" fillId="4" borderId="3" xfId="0" applyFont="1" applyFill="1" applyBorder="1" applyAlignment="1" applyProtection="1">
      <alignment horizontal="left" vertical="center"/>
    </xf>
    <xf numFmtId="0" fontId="8" fillId="4" borderId="4" xfId="0" applyFont="1" applyFill="1" applyBorder="1" applyAlignment="1" applyProtection="1">
      <alignment horizontal="left" vertical="center"/>
    </xf>
    <xf numFmtId="0" fontId="8" fillId="4" borderId="7" xfId="0" applyFont="1" applyFill="1" applyBorder="1" applyAlignment="1" applyProtection="1">
      <alignment horizontal="left" vertical="center"/>
    </xf>
    <xf numFmtId="0" fontId="7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left" vertical="center"/>
    </xf>
    <xf numFmtId="0" fontId="8" fillId="4" borderId="0" xfId="0" applyFont="1" applyFill="1" applyAlignment="1" applyProtection="1">
      <alignment horizontal="left" vertical="center"/>
    </xf>
    <xf numFmtId="0" fontId="8" fillId="4" borderId="8" xfId="0" applyFont="1" applyFill="1" applyBorder="1" applyAlignment="1" applyProtection="1">
      <alignment horizontal="left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center" vertical="center"/>
    </xf>
    <xf numFmtId="0" fontId="1" fillId="4" borderId="8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9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left" vertical="center"/>
    </xf>
    <xf numFmtId="0" fontId="8" fillId="4" borderId="6" xfId="0" applyFont="1" applyFill="1" applyBorder="1" applyAlignment="1" applyProtection="1">
      <alignment horizontal="left" vertical="center"/>
    </xf>
    <xf numFmtId="0" fontId="8" fillId="4" borderId="9" xfId="0" applyFont="1" applyFill="1" applyBorder="1" applyAlignment="1" applyProtection="1">
      <alignment horizontal="left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4" borderId="6" xfId="0" applyFont="1" applyFill="1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164" fontId="1" fillId="4" borderId="1" xfId="0" applyNumberFormat="1" applyFont="1" applyFill="1" applyBorder="1" applyAlignment="1" applyProtection="1">
      <alignment horizontal="center" vertical="center"/>
    </xf>
    <xf numFmtId="8" fontId="1" fillId="4" borderId="3" xfId="0" applyNumberFormat="1" applyFont="1" applyFill="1" applyBorder="1" applyAlignment="1" applyProtection="1">
      <alignment horizontal="center" vertical="center"/>
    </xf>
    <xf numFmtId="2" fontId="1" fillId="4" borderId="1" xfId="0" applyNumberFormat="1" applyFont="1" applyFill="1" applyBorder="1" applyAlignment="1" applyProtection="1">
      <alignment horizontal="center" vertical="center"/>
    </xf>
    <xf numFmtId="8" fontId="1" fillId="4" borderId="1" xfId="0" applyNumberFormat="1" applyFont="1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64" fontId="1" fillId="4" borderId="3" xfId="0" applyNumberFormat="1" applyFont="1" applyFill="1" applyBorder="1" applyAlignment="1" applyProtection="1">
      <alignment horizontal="center" vertical="center"/>
    </xf>
    <xf numFmtId="166" fontId="0" fillId="4" borderId="1" xfId="2" applyNumberFormat="1" applyFont="1" applyFill="1" applyBorder="1" applyAlignment="1" applyProtection="1">
      <alignment horizontal="center" vertical="center"/>
      <protection locked="0"/>
    </xf>
    <xf numFmtId="165" fontId="0" fillId="4" borderId="1" xfId="0" applyNumberFormat="1" applyFill="1" applyBorder="1" applyAlignment="1" applyProtection="1">
      <alignment horizontal="center" vertical="center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Typical Cost &amp; Sales Price For Cheeses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'Product &amp; Sales Data'!$I$4</c:f>
              <c:strCache>
                <c:ptCount val="1"/>
                <c:pt idx="0">
                  <c:v>Cost Per KG (£) 0.7 Exchange Rate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'Product &amp; Sales Data'!$C$5:$C$16</c:f>
              <c:strCache>
                <c:ptCount val="11"/>
                <c:pt idx="2">
                  <c:v>Camembert</c:v>
                </c:pt>
                <c:pt idx="4">
                  <c:v>Emmental</c:v>
                </c:pt>
                <c:pt idx="6">
                  <c:v>Gruyere</c:v>
                </c:pt>
                <c:pt idx="8">
                  <c:v>Edam</c:v>
                </c:pt>
                <c:pt idx="10">
                  <c:v>Gouda</c:v>
                </c:pt>
              </c:strCache>
            </c:strRef>
          </c:cat>
          <c:val>
            <c:numRef>
              <c:f>'Product &amp; Sales Data'!$I$5:$I$16</c:f>
              <c:numCache>
                <c:formatCode>General</c:formatCode>
                <c:ptCount val="12"/>
                <c:pt idx="2" formatCode="&quot;£&quot;#,##0.00_);[Red]\(&quot;£&quot;#,##0.00\)">
                  <c:v>19.599999999999998</c:v>
                </c:pt>
                <c:pt idx="4" formatCode="&quot;£&quot;#,##0.00_);[Red]\(&quot;£&quot;#,##0.00\)">
                  <c:v>22.4</c:v>
                </c:pt>
                <c:pt idx="6" formatCode="&quot;£&quot;#,##0.00_);[Red]\(&quot;£&quot;#,##0.00\)">
                  <c:v>24.5</c:v>
                </c:pt>
                <c:pt idx="8" formatCode="&quot;£&quot;#,##0.00_);[Red]\(&quot;£&quot;#,##0.00\)">
                  <c:v>20.299999999999997</c:v>
                </c:pt>
                <c:pt idx="10" formatCode="&quot;£&quot;#,##0.00_);[Red]\(&quot;£&quot;#,##0.00\)">
                  <c:v>21.7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C-41E4-B1A7-C029D4BBF83B}"/>
            </c:ext>
          </c:extLst>
        </c:ser>
        <c:ser>
          <c:idx val="8"/>
          <c:order val="8"/>
          <c:tx>
            <c:strRef>
              <c:f>'Product &amp; Sales Data'!$L$4</c:f>
              <c:strCache>
                <c:ptCount val="1"/>
                <c:pt idx="0">
                  <c:v>Sales Price 40% Profit Margin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'Product &amp; Sales Data'!$C$5:$C$16</c:f>
              <c:strCache>
                <c:ptCount val="11"/>
                <c:pt idx="2">
                  <c:v>Camembert</c:v>
                </c:pt>
                <c:pt idx="4">
                  <c:v>Emmental</c:v>
                </c:pt>
                <c:pt idx="6">
                  <c:v>Gruyere</c:v>
                </c:pt>
                <c:pt idx="8">
                  <c:v>Edam</c:v>
                </c:pt>
                <c:pt idx="10">
                  <c:v>Gouda</c:v>
                </c:pt>
              </c:strCache>
            </c:strRef>
          </c:cat>
          <c:val>
            <c:numRef>
              <c:f>'Product &amp; Sales Data'!$L$5:$L$16</c:f>
              <c:numCache>
                <c:formatCode>General</c:formatCode>
                <c:ptCount val="12"/>
                <c:pt idx="2" formatCode="&quot;£&quot;#,##0.00_);[Red]\(&quot;£&quot;#,##0.00\)">
                  <c:v>27.439999999999998</c:v>
                </c:pt>
                <c:pt idx="4" formatCode="&quot;£&quot;#,##0.00_);[Red]\(&quot;£&quot;#,##0.00\)">
                  <c:v>31.36</c:v>
                </c:pt>
                <c:pt idx="6" formatCode="&quot;£&quot;#,##0.00_);[Red]\(&quot;£&quot;#,##0.00\)">
                  <c:v>34.299999999999997</c:v>
                </c:pt>
                <c:pt idx="8" formatCode="&quot;£&quot;#,##0.00_);[Red]\(&quot;£&quot;#,##0.00\)">
                  <c:v>28.419999999999995</c:v>
                </c:pt>
                <c:pt idx="10" formatCode="&quot;£&quot;#,##0.00_);[Red]\(&quot;£&quot;#,##0.00\)">
                  <c:v>30.38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2C-41E4-B1A7-C029D4BBF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396848"/>
        <c:axId val="13993973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'Product &amp; Sales Data'!$D$4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'Product &amp; Sales Data'!$D$5:$D$16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92C-41E4-B1A7-C029D4BBF83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Data'!$E$5:$E$16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92C-41E4-B1A7-C029D4BBF83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Data'!$F$4</c15:sqref>
                        </c15:formulaRef>
                      </c:ext>
                    </c:extLst>
                    <c:strCache>
                      <c:ptCount val="1"/>
                      <c:pt idx="0">
                        <c:v>Cost Per KG (€)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Data'!$F$5:$F$16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2" formatCode="#,##0\ [$€-1];[Red]\-#,##0\ [$€-1]">
                        <c:v>28</c:v>
                      </c:pt>
                      <c:pt idx="4" formatCode="#,##0\ [$€-1];[Red]\-#,##0\ [$€-1]">
                        <c:v>32</c:v>
                      </c:pt>
                      <c:pt idx="6" formatCode="#,##0\ [$€-1];[Red]\-#,##0\ [$€-1]">
                        <c:v>35</c:v>
                      </c:pt>
                      <c:pt idx="8" formatCode="#,##0\ [$€-1];[Red]\-#,##0\ [$€-1]">
                        <c:v>29</c:v>
                      </c:pt>
                      <c:pt idx="10" formatCode="#,##0\ [$€-1];[Red]\-#,##0\ [$€-1]">
                        <c:v>31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92C-41E4-B1A7-C029D4BBF83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Data'!$G$4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Data'!$G$5:$G$16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92C-41E4-B1A7-C029D4BBF83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Data'!$H$4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Data'!$H$5:$H$16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92C-41E4-B1A7-C029D4BBF83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Data'!$J$4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Data'!$J$5:$J$16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92C-41E4-B1A7-C029D4BBF83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Data'!$K$4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Data'!$K$5:$K$16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92C-41E4-B1A7-C029D4BBF83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Data'!$M$4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Data'!$M$5:$M$16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92C-41E4-B1A7-C029D4BBF83B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Data'!$N$4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Data'!$C$5:$C$16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Data'!$N$5:$N$16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92C-41E4-B1A7-C029D4BBF83B}"/>
                  </c:ext>
                </c:extLst>
              </c15:ser>
            </c15:filteredBarSeries>
          </c:ext>
        </c:extLst>
      </c:barChart>
      <c:catAx>
        <c:axId val="139939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97328"/>
        <c:crosses val="autoZero"/>
        <c:auto val="1"/>
        <c:lblAlgn val="ctr"/>
        <c:lblOffset val="100"/>
        <c:noMultiLvlLbl val="0"/>
      </c:catAx>
      <c:valAx>
        <c:axId val="139939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Predicted New Cost &amp; Sales</a:t>
            </a:r>
            <a:r>
              <a:rPr lang="en-GB" baseline="0"/>
              <a:t> Price For Cheeses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'Product &amp; Sales Data'!$F$29</c:f>
              <c:strCache>
                <c:ptCount val="1"/>
                <c:pt idx="0">
                  <c:v>New Cost Per KG (£)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'Product &amp; Sales Data'!$C$30:$C$41</c:f>
              <c:strCache>
                <c:ptCount val="11"/>
                <c:pt idx="2">
                  <c:v>Camembert</c:v>
                </c:pt>
                <c:pt idx="4">
                  <c:v>Emmental</c:v>
                </c:pt>
                <c:pt idx="6">
                  <c:v>Gruyere</c:v>
                </c:pt>
                <c:pt idx="8">
                  <c:v>Edam</c:v>
                </c:pt>
                <c:pt idx="10">
                  <c:v>Gouda</c:v>
                </c:pt>
              </c:strCache>
            </c:strRef>
          </c:cat>
          <c:val>
            <c:numRef>
              <c:f>'Product &amp; Sales Data'!$F$30:$F$41</c:f>
              <c:numCache>
                <c:formatCode>General</c:formatCode>
                <c:ptCount val="12"/>
                <c:pt idx="2" formatCode="_-[$£-809]* #,##0.00_-;\-[$£-809]* #,##0.00_-;_-[$£-809]* &quot;-&quot;??_-;_-@_-">
                  <c:v>19.600000000000026</c:v>
                </c:pt>
                <c:pt idx="4" formatCode="_-[$£-809]* #,##0.00_-;\-[$£-809]* #,##0.00_-;_-[$£-809]* &quot;-&quot;??_-;_-@_-">
                  <c:v>22.400000000000031</c:v>
                </c:pt>
                <c:pt idx="6" formatCode="_-[$£-809]* #,##0.00_-;\-[$£-809]* #,##0.00_-;_-[$£-809]* &quot;-&quot;??_-;_-@_-">
                  <c:v>24.500000000000032</c:v>
                </c:pt>
                <c:pt idx="8" formatCode="_-[$£-809]* #,##0.00_-;\-[$£-809]* #,##0.00_-;_-[$£-809]* &quot;-&quot;??_-;_-@_-">
                  <c:v>20.300000000000029</c:v>
                </c:pt>
                <c:pt idx="10" formatCode="_-[$£-809]* #,##0.00_-;\-[$£-809]* #,##0.00_-;_-[$£-809]* &quot;-&quot;??_-;_-@_-">
                  <c:v>21.700000000000031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3-438B-BE57-6F4A4A6C9FC5}"/>
            </c:ext>
          </c:extLst>
        </c:ser>
        <c:ser>
          <c:idx val="5"/>
          <c:order val="5"/>
          <c:tx>
            <c:strRef>
              <c:f>'Product &amp; Sales Data'!$I$29</c:f>
              <c:strCache>
                <c:ptCount val="1"/>
                <c:pt idx="0">
                  <c:v>New Sales Price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'Product &amp; Sales Data'!$C$30:$C$41</c:f>
              <c:strCache>
                <c:ptCount val="11"/>
                <c:pt idx="2">
                  <c:v>Camembert</c:v>
                </c:pt>
                <c:pt idx="4">
                  <c:v>Emmental</c:v>
                </c:pt>
                <c:pt idx="6">
                  <c:v>Gruyere</c:v>
                </c:pt>
                <c:pt idx="8">
                  <c:v>Edam</c:v>
                </c:pt>
                <c:pt idx="10">
                  <c:v>Gouda</c:v>
                </c:pt>
              </c:strCache>
            </c:strRef>
          </c:cat>
          <c:val>
            <c:numRef>
              <c:f>'Product &amp; Sales Data'!$I$30:$I$41</c:f>
              <c:numCache>
                <c:formatCode>General</c:formatCode>
                <c:ptCount val="12"/>
                <c:pt idx="2" formatCode="_-[$£-809]* #,##0.00_-;\-[$£-809]* #,##0.00_-;_-[$£-809]* &quot;-&quot;??_-;_-@_-">
                  <c:v>27.832000000000036</c:v>
                </c:pt>
                <c:pt idx="4" formatCode="_-[$£-809]* #,##0.00_-;\-[$£-809]* #,##0.00_-;_-[$£-809]* &quot;-&quot;??_-;_-@_-">
                  <c:v>31.808000000000042</c:v>
                </c:pt>
                <c:pt idx="6" formatCode="_-[$£-809]* #,##0.00_-;\-[$£-809]* #,##0.00_-;_-[$£-809]* &quot;-&quot;??_-;_-@_-">
                  <c:v>34.790000000000049</c:v>
                </c:pt>
                <c:pt idx="8" formatCode="_-[$£-809]* #,##0.00_-;\-[$£-809]* #,##0.00_-;_-[$£-809]* &quot;-&quot;??_-;_-@_-">
                  <c:v>28.826000000000043</c:v>
                </c:pt>
                <c:pt idx="10" formatCode="_-[$£-809]* #,##0.00_-;\-[$£-809]* #,##0.00_-;_-[$£-809]* &quot;-&quot;??_-;_-@_-">
                  <c:v>30.814000000000043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B3-438B-BE57-6F4A4A6C9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1082928"/>
        <c:axId val="17610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'Product &amp; Sales Data'!$D$29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'Product &amp; Sales Data'!$C$30:$C$41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'Product &amp; Sales Data'!$D$30:$D$41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7B3-438B-BE57-6F4A4A6C9FC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Data'!$C$30:$C$41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Data'!$E$30:$E$41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7B3-438B-BE57-6F4A4A6C9FC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Data'!$G$29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Data'!$C$30:$C$41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Data'!$G$30:$G$41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7B3-438B-BE57-6F4A4A6C9FC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Data'!$H$29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Data'!$C$30:$C$41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Data'!$H$30:$H$41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7B3-438B-BE57-6F4A4A6C9FC5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Data'!$J$29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Data'!$C$30:$C$41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Data'!$J$30:$J$41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7B3-438B-BE57-6F4A4A6C9FC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Data'!$K$29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Data'!$C$30:$C$41</c15:sqref>
                        </c15:formulaRef>
                      </c:ext>
                    </c:extLst>
                    <c:strCache>
                      <c:ptCount val="11"/>
                      <c:pt idx="2">
                        <c:v>Camembert</c:v>
                      </c:pt>
                      <c:pt idx="4">
                        <c:v>Emmental</c:v>
                      </c:pt>
                      <c:pt idx="6">
                        <c:v>Gruyere</c:v>
                      </c:pt>
                      <c:pt idx="8">
                        <c:v>Edam</c:v>
                      </c:pt>
                      <c:pt idx="10">
                        <c:v>Gouda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'Product &amp; Sales Data'!$K$30:$K$41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7B3-438B-BE57-6F4A4A6C9FC5}"/>
                  </c:ext>
                </c:extLst>
              </c15:ser>
            </c15:filteredBarSeries>
          </c:ext>
        </c:extLst>
      </c:barChart>
      <c:catAx>
        <c:axId val="176108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083408"/>
        <c:crosses val="autoZero"/>
        <c:auto val="1"/>
        <c:lblAlgn val="ctr"/>
        <c:lblOffset val="100"/>
        <c:noMultiLvlLbl val="0"/>
      </c:catAx>
      <c:valAx>
        <c:axId val="176108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0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G$22" max="30000" page="10" val="42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425823</xdr:colOff>
      <xdr:row>17</xdr:row>
      <xdr:rowOff>51719</xdr:rowOff>
    </xdr:from>
    <xdr:to>
      <xdr:col>6</xdr:col>
      <xdr:colOff>275206</xdr:colOff>
      <xdr:row>29</xdr:row>
      <xdr:rowOff>145677</xdr:rowOff>
    </xdr:to>
    <xdr:pic>
      <xdr:nvPicPr>
        <xdr:cNvPr id="5" name="Picture 4" descr="Cheese PNG Free Images with Transparent Background - (2,767 Free Downloads)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823" y="3312631"/>
          <a:ext cx="3480089" cy="23799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188861</xdr:colOff>
      <xdr:row>10</xdr:row>
      <xdr:rowOff>138695</xdr:rowOff>
    </xdr:from>
    <xdr:to>
      <xdr:col>26</xdr:col>
      <xdr:colOff>310745</xdr:colOff>
      <xdr:row>36</xdr:row>
      <xdr:rowOff>168089</xdr:rowOff>
    </xdr:to>
    <xdr:pic>
      <xdr:nvPicPr>
        <xdr:cNvPr id="7" name="Picture 6" descr="Uk PNG, Vector, PSD, and Clipart With Transparent Background for Free  Download | Pngtre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0979" y="2043695"/>
          <a:ext cx="4962825" cy="5004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11</xdr:row>
          <xdr:rowOff>76200</xdr:rowOff>
        </xdr:from>
        <xdr:to>
          <xdr:col>17</xdr:col>
          <xdr:colOff>266700</xdr:colOff>
          <xdr:row>16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entury Gothic"/>
                </a:rPr>
                <a:t>Product &amp; Sales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17</xdr:row>
          <xdr:rowOff>142875</xdr:rowOff>
        </xdr:from>
        <xdr:to>
          <xdr:col>17</xdr:col>
          <xdr:colOff>295275</xdr:colOff>
          <xdr:row>22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entury Gothic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180975</xdr:rowOff>
        </xdr:from>
        <xdr:to>
          <xdr:col>17</xdr:col>
          <xdr:colOff>295275</xdr:colOff>
          <xdr:row>28</xdr:row>
          <xdr:rowOff>142875</xdr:rowOff>
        </xdr:to>
        <xdr:sp macro="" textlink="">
          <xdr:nvSpPr>
            <xdr:cNvPr id="1027" name="SaveWorksheetPD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3</xdr:col>
          <xdr:colOff>0</xdr:colOff>
          <xdr:row>23</xdr:row>
          <xdr:rowOff>9525</xdr:rowOff>
        </xdr:to>
        <xdr:sp macro="" textlink="">
          <xdr:nvSpPr>
            <xdr:cNvPr id="2057" name="sbExchang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21</xdr:row>
          <xdr:rowOff>19050</xdr:rowOff>
        </xdr:from>
        <xdr:to>
          <xdr:col>5</xdr:col>
          <xdr:colOff>600075</xdr:colOff>
          <xdr:row>23</xdr:row>
          <xdr:rowOff>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37</xdr:row>
          <xdr:rowOff>133350</xdr:rowOff>
        </xdr:from>
        <xdr:to>
          <xdr:col>23</xdr:col>
          <xdr:colOff>171450</xdr:colOff>
          <xdr:row>41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entury Gothic"/>
                </a:rPr>
                <a:t>Quit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32</xdr:row>
          <xdr:rowOff>171450</xdr:rowOff>
        </xdr:from>
        <xdr:to>
          <xdr:col>23</xdr:col>
          <xdr:colOff>190500</xdr:colOff>
          <xdr:row>36</xdr:row>
          <xdr:rowOff>142875</xdr:rowOff>
        </xdr:to>
        <xdr:sp macro="" textlink="">
          <xdr:nvSpPr>
            <xdr:cNvPr id="2063" name="CommandButton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201706</xdr:colOff>
      <xdr:row>3</xdr:row>
      <xdr:rowOff>78441</xdr:rowOff>
    </xdr:from>
    <xdr:to>
      <xdr:col>9</xdr:col>
      <xdr:colOff>593912</xdr:colOff>
      <xdr:row>30</xdr:row>
      <xdr:rowOff>134471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260658</xdr:colOff>
      <xdr:row>3</xdr:row>
      <xdr:rowOff>114007</xdr:rowOff>
    </xdr:from>
    <xdr:to>
      <xdr:col>18</xdr:col>
      <xdr:colOff>438149</xdr:colOff>
      <xdr:row>30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33</xdr:row>
          <xdr:rowOff>19050</xdr:rowOff>
        </xdr:from>
        <xdr:to>
          <xdr:col>18</xdr:col>
          <xdr:colOff>466725</xdr:colOff>
          <xdr:row>36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entury Gothic"/>
                </a:rPr>
                <a:t>Quit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33</xdr:row>
          <xdr:rowOff>19050</xdr:rowOff>
        </xdr:from>
        <xdr:to>
          <xdr:col>16</xdr:col>
          <xdr:colOff>219075</xdr:colOff>
          <xdr:row>36</xdr:row>
          <xdr:rowOff>95250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16556-2767-44C6-8BBF-803F8E4669CE}">
  <sheetPr codeName="Sheet1">
    <pageSetUpPr fitToPage="1"/>
  </sheetPr>
  <dimension ref="H1:R223"/>
  <sheetViews>
    <sheetView showGridLines="0" showRowColHeaders="0" zoomScale="115" zoomScaleNormal="115" workbookViewId="0">
      <selection activeCell="M39" sqref="M39"/>
    </sheetView>
  </sheetViews>
  <sheetFormatPr defaultRowHeight="15" x14ac:dyDescent="0.25"/>
  <cols>
    <col min="1" max="26" width="9.140625" style="1" customWidth="1"/>
    <col min="27" max="16384" width="9.140625" style="1"/>
  </cols>
  <sheetData>
    <row r="1" spans="8:18" x14ac:dyDescent="0.25"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8:18" ht="15" customHeight="1" x14ac:dyDescent="0.25">
      <c r="H2" s="10"/>
      <c r="I2" s="11" t="s">
        <v>0</v>
      </c>
      <c r="J2" s="11"/>
      <c r="K2" s="11"/>
      <c r="L2" s="11"/>
      <c r="M2" s="11"/>
      <c r="N2" s="11"/>
      <c r="O2" s="11"/>
      <c r="P2" s="11"/>
      <c r="Q2" s="11"/>
      <c r="R2" s="2"/>
    </row>
    <row r="3" spans="8:18" ht="15" customHeight="1" x14ac:dyDescent="0.25">
      <c r="H3" s="10"/>
      <c r="I3" s="11"/>
      <c r="J3" s="11"/>
      <c r="K3" s="11"/>
      <c r="L3" s="11"/>
      <c r="M3" s="11"/>
      <c r="N3" s="11"/>
      <c r="O3" s="11"/>
      <c r="P3" s="11"/>
      <c r="Q3" s="11"/>
      <c r="R3" s="2"/>
    </row>
    <row r="4" spans="8:18" ht="15" customHeight="1" x14ac:dyDescent="0.25">
      <c r="H4" s="10"/>
      <c r="I4" s="11"/>
      <c r="J4" s="11"/>
      <c r="K4" s="11"/>
      <c r="L4" s="11"/>
      <c r="M4" s="11"/>
      <c r="N4" s="11"/>
      <c r="O4" s="11"/>
      <c r="P4" s="11"/>
      <c r="Q4" s="11"/>
      <c r="R4" s="2"/>
    </row>
    <row r="5" spans="8:18" ht="15" customHeight="1" x14ac:dyDescent="0.25">
      <c r="H5" s="10"/>
      <c r="I5" s="11"/>
      <c r="J5" s="11"/>
      <c r="K5" s="11"/>
      <c r="L5" s="11"/>
      <c r="M5" s="11"/>
      <c r="N5" s="11"/>
      <c r="O5" s="11"/>
      <c r="P5" s="11"/>
      <c r="Q5" s="11"/>
      <c r="R5" s="2"/>
    </row>
    <row r="6" spans="8:18" ht="15" customHeight="1" x14ac:dyDescent="0.25">
      <c r="H6" s="10"/>
      <c r="I6" s="11"/>
      <c r="J6" s="11"/>
      <c r="K6" s="11"/>
      <c r="L6" s="11"/>
      <c r="M6" s="11"/>
      <c r="N6" s="11"/>
      <c r="O6" s="11"/>
      <c r="P6" s="11"/>
      <c r="Q6" s="11"/>
      <c r="R6" s="2"/>
    </row>
    <row r="7" spans="8:18" x14ac:dyDescent="0.25"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8:18" x14ac:dyDescent="0.25"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8:18" ht="15" customHeight="1" x14ac:dyDescent="0.25">
      <c r="H9" s="3"/>
      <c r="I9" s="2"/>
      <c r="J9" s="2"/>
      <c r="K9" s="2"/>
      <c r="L9" s="2"/>
      <c r="M9" s="2"/>
      <c r="N9" s="2"/>
      <c r="O9" s="3"/>
      <c r="P9" s="2"/>
      <c r="Q9" s="2"/>
      <c r="R9" s="2"/>
    </row>
    <row r="10" spans="8:18" ht="15" customHeight="1" x14ac:dyDescent="0.25">
      <c r="H10" s="3"/>
      <c r="I10" s="2"/>
      <c r="J10" s="2"/>
      <c r="K10" s="2"/>
      <c r="L10" s="2"/>
      <c r="M10" s="2"/>
      <c r="N10" s="2"/>
      <c r="O10" s="3"/>
      <c r="P10" s="2"/>
      <c r="Q10" s="2"/>
      <c r="R10" s="2"/>
    </row>
    <row r="11" spans="8:18" ht="15" customHeight="1" x14ac:dyDescent="0.25">
      <c r="H11" s="3"/>
      <c r="I11" s="2"/>
      <c r="J11" s="2"/>
      <c r="K11" s="2"/>
      <c r="L11" s="2"/>
      <c r="M11" s="2"/>
      <c r="N11" s="2"/>
      <c r="O11" s="3"/>
      <c r="P11" s="2"/>
      <c r="Q11" s="2"/>
      <c r="R11" s="2"/>
    </row>
    <row r="12" spans="8:18" x14ac:dyDescent="0.25"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8:18" ht="16.5" customHeight="1" x14ac:dyDescent="0.25"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8:18" ht="15" customHeight="1" x14ac:dyDescent="0.25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8:18" ht="15" customHeight="1" x14ac:dyDescent="0.25"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8:18" x14ac:dyDescent="0.25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8:18" ht="15" customHeight="1" x14ac:dyDescent="0.25">
      <c r="H17" s="2"/>
      <c r="I17" s="7"/>
      <c r="J17" s="3"/>
      <c r="K17" s="3"/>
      <c r="L17" s="3"/>
      <c r="M17" s="3"/>
      <c r="N17" s="3"/>
      <c r="O17" s="2"/>
      <c r="P17" s="2"/>
      <c r="Q17" s="2"/>
      <c r="R17" s="2"/>
    </row>
    <row r="18" spans="8:18" x14ac:dyDescent="0.25">
      <c r="H18" s="2"/>
      <c r="I18" s="3"/>
      <c r="J18" s="3"/>
      <c r="K18" s="3"/>
      <c r="L18" s="3"/>
      <c r="M18" s="3"/>
      <c r="N18" s="3"/>
      <c r="O18" s="2"/>
      <c r="P18" s="2"/>
      <c r="Q18" s="2"/>
      <c r="R18" s="2"/>
    </row>
    <row r="19" spans="8:18" x14ac:dyDescent="0.25">
      <c r="H19" s="2"/>
      <c r="I19" s="3"/>
      <c r="J19" s="3"/>
      <c r="K19" s="3"/>
      <c r="L19" s="3"/>
      <c r="M19" s="3"/>
      <c r="N19" s="3"/>
      <c r="O19" s="2"/>
      <c r="P19" s="2"/>
      <c r="Q19" s="2"/>
      <c r="R19" s="2"/>
    </row>
    <row r="20" spans="8:18" x14ac:dyDescent="0.25"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8:18" ht="15" customHeight="1" x14ac:dyDescent="0.25">
      <c r="H21" s="2"/>
      <c r="I21" s="7"/>
      <c r="J21" s="3"/>
      <c r="K21" s="3"/>
      <c r="L21" s="3"/>
      <c r="M21" s="3"/>
      <c r="N21" s="3"/>
      <c r="O21" s="2"/>
      <c r="P21" s="2"/>
      <c r="Q21" s="2"/>
      <c r="R21" s="2"/>
    </row>
    <row r="22" spans="8:18" x14ac:dyDescent="0.25">
      <c r="H22" s="2"/>
      <c r="I22" s="3"/>
      <c r="J22" s="3"/>
      <c r="K22" s="3"/>
      <c r="L22" s="3"/>
      <c r="M22" s="3"/>
      <c r="N22" s="3"/>
      <c r="O22" s="2"/>
      <c r="P22" s="2"/>
      <c r="Q22" s="2"/>
      <c r="R22" s="2"/>
    </row>
    <row r="23" spans="8:18" x14ac:dyDescent="0.25">
      <c r="H23" s="2"/>
      <c r="I23" s="3"/>
      <c r="J23" s="3"/>
      <c r="K23" s="3"/>
      <c r="L23" s="3"/>
      <c r="M23" s="3"/>
      <c r="N23" s="3"/>
      <c r="O23" s="2"/>
      <c r="P23" s="2"/>
      <c r="Q23" s="2"/>
      <c r="R23" s="2"/>
    </row>
    <row r="24" spans="8:18" x14ac:dyDescent="0.25"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8:18" ht="15" customHeight="1" x14ac:dyDescent="0.25">
      <c r="H25" s="2"/>
      <c r="I25" s="7"/>
      <c r="J25" s="3"/>
      <c r="K25" s="3"/>
      <c r="L25" s="3"/>
      <c r="M25" s="3"/>
      <c r="N25" s="3"/>
      <c r="O25" s="2"/>
      <c r="P25" s="2"/>
      <c r="Q25" s="2"/>
      <c r="R25" s="2"/>
    </row>
    <row r="26" spans="8:18" x14ac:dyDescent="0.25">
      <c r="H26" s="2"/>
      <c r="I26" s="3"/>
      <c r="J26" s="3"/>
      <c r="K26" s="3"/>
      <c r="L26" s="3"/>
      <c r="M26" s="3"/>
      <c r="N26" s="3"/>
      <c r="O26" s="2"/>
      <c r="P26" s="2"/>
      <c r="Q26" s="2"/>
      <c r="R26" s="2"/>
    </row>
    <row r="27" spans="8:18" x14ac:dyDescent="0.25">
      <c r="H27" s="2"/>
      <c r="I27" s="3"/>
      <c r="J27" s="3"/>
      <c r="K27" s="3"/>
      <c r="L27" s="3"/>
      <c r="M27" s="3"/>
      <c r="N27" s="3"/>
      <c r="O27" s="2"/>
      <c r="P27" s="2"/>
      <c r="Q27" s="2"/>
      <c r="R27" s="2"/>
    </row>
    <row r="28" spans="8:18" x14ac:dyDescent="0.25"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8:18" x14ac:dyDescent="0.25"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8:18" x14ac:dyDescent="0.25"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8:18" x14ac:dyDescent="0.25"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8:18" x14ac:dyDescent="0.25"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8:18" x14ac:dyDescent="0.25"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8:18" x14ac:dyDescent="0.25"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8:18" x14ac:dyDescent="0.25"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8:18" x14ac:dyDescent="0.25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8:18" x14ac:dyDescent="0.25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8:18" x14ac:dyDescent="0.25"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8:18" x14ac:dyDescent="0.25"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8:18" x14ac:dyDescent="0.25"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8:18" x14ac:dyDescent="0.25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8:18" x14ac:dyDescent="0.25"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8:18" x14ac:dyDescent="0.25"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8:18" x14ac:dyDescent="0.25"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8:18" x14ac:dyDescent="0.25"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8:18" x14ac:dyDescent="0.25"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spans="8:18" x14ac:dyDescent="0.25"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spans="8:18" x14ac:dyDescent="0.25"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spans="8:18" x14ac:dyDescent="0.25"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8:18" x14ac:dyDescent="0.25"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8:18" x14ac:dyDescent="0.25"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spans="8:18" x14ac:dyDescent="0.25"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8:18" x14ac:dyDescent="0.25"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spans="8:18" x14ac:dyDescent="0.25"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spans="8:18" x14ac:dyDescent="0.25"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</row>
    <row r="56" spans="8:18" x14ac:dyDescent="0.25"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</row>
    <row r="57" spans="8:18" x14ac:dyDescent="0.25"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</row>
    <row r="58" spans="8:18" x14ac:dyDescent="0.25"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8:18" x14ac:dyDescent="0.25"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</row>
    <row r="60" spans="8:18" x14ac:dyDescent="0.25"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</row>
    <row r="61" spans="8:18" x14ac:dyDescent="0.25"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</row>
    <row r="62" spans="8:18" x14ac:dyDescent="0.25"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8:18" x14ac:dyDescent="0.25"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8:18" x14ac:dyDescent="0.25"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spans="8:18" x14ac:dyDescent="0.25"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spans="8:18" x14ac:dyDescent="0.25"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</row>
    <row r="67" spans="8:18" x14ac:dyDescent="0.25"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</row>
    <row r="68" spans="8:18" x14ac:dyDescent="0.25"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</row>
    <row r="69" spans="8:18" x14ac:dyDescent="0.25"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</row>
    <row r="70" spans="8:18" x14ac:dyDescent="0.25"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</row>
    <row r="71" spans="8:18" x14ac:dyDescent="0.25"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</row>
    <row r="72" spans="8:18" x14ac:dyDescent="0.25"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</row>
    <row r="73" spans="8:18" x14ac:dyDescent="0.25"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</row>
    <row r="74" spans="8:18" x14ac:dyDescent="0.25"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8:18" x14ac:dyDescent="0.25"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</row>
    <row r="76" spans="8:18" x14ac:dyDescent="0.25"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8:18" x14ac:dyDescent="0.25"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spans="8:18" x14ac:dyDescent="0.25"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8:18" x14ac:dyDescent="0.25"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8:18" x14ac:dyDescent="0.25"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</row>
    <row r="81" spans="8:18" x14ac:dyDescent="0.25"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spans="8:18" x14ac:dyDescent="0.25"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</row>
    <row r="83" spans="8:18" x14ac:dyDescent="0.25"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</row>
    <row r="84" spans="8:18" x14ac:dyDescent="0.25"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</row>
    <row r="85" spans="8:18" x14ac:dyDescent="0.25"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</row>
    <row r="86" spans="8:18" x14ac:dyDescent="0.25"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</row>
    <row r="87" spans="8:18" x14ac:dyDescent="0.25"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8:18" x14ac:dyDescent="0.25"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</row>
    <row r="89" spans="8:18" x14ac:dyDescent="0.25"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8:18" x14ac:dyDescent="0.25"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</row>
    <row r="91" spans="8:18" x14ac:dyDescent="0.25"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</row>
    <row r="92" spans="8:18" x14ac:dyDescent="0.25"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</row>
    <row r="93" spans="8:18" x14ac:dyDescent="0.25"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spans="8:18" x14ac:dyDescent="0.25"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</row>
    <row r="95" spans="8:18" x14ac:dyDescent="0.25"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8:18" x14ac:dyDescent="0.25"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</row>
    <row r="97" spans="8:18" x14ac:dyDescent="0.25"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</row>
    <row r="98" spans="8:18" x14ac:dyDescent="0.25"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</row>
    <row r="99" spans="8:18" x14ac:dyDescent="0.25"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</row>
    <row r="100" spans="8:18" x14ac:dyDescent="0.25"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</row>
    <row r="101" spans="8:18" x14ac:dyDescent="0.25"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8:18" x14ac:dyDescent="0.25"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8:18" x14ac:dyDescent="0.25"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</row>
    <row r="104" spans="8:18" x14ac:dyDescent="0.25"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8:18" x14ac:dyDescent="0.25"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</row>
    <row r="106" spans="8:18" x14ac:dyDescent="0.25"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</row>
    <row r="107" spans="8:18" x14ac:dyDescent="0.25"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</row>
    <row r="108" spans="8:18" x14ac:dyDescent="0.25"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</row>
    <row r="109" spans="8:18" x14ac:dyDescent="0.25"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</row>
    <row r="110" spans="8:18" x14ac:dyDescent="0.25"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</row>
    <row r="111" spans="8:18" x14ac:dyDescent="0.25"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</row>
    <row r="112" spans="8:18" x14ac:dyDescent="0.25"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</row>
    <row r="113" spans="8:18" x14ac:dyDescent="0.25"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</row>
    <row r="114" spans="8:18" x14ac:dyDescent="0.25"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</row>
    <row r="115" spans="8:18" x14ac:dyDescent="0.25"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</row>
    <row r="116" spans="8:18" x14ac:dyDescent="0.25"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</row>
    <row r="117" spans="8:18" x14ac:dyDescent="0.25"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</row>
    <row r="118" spans="8:18" x14ac:dyDescent="0.25"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</row>
    <row r="119" spans="8:18" x14ac:dyDescent="0.25"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</row>
    <row r="120" spans="8:18" x14ac:dyDescent="0.25"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</row>
    <row r="121" spans="8:18" x14ac:dyDescent="0.25"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</row>
    <row r="122" spans="8:18" x14ac:dyDescent="0.25"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</row>
    <row r="123" spans="8:18" x14ac:dyDescent="0.25"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</row>
    <row r="124" spans="8:18" x14ac:dyDescent="0.25"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</row>
    <row r="125" spans="8:18" x14ac:dyDescent="0.25"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8:18" x14ac:dyDescent="0.25"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</row>
    <row r="127" spans="8:18" x14ac:dyDescent="0.25"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</row>
    <row r="128" spans="8:18" x14ac:dyDescent="0.25"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</row>
    <row r="129" spans="8:18" x14ac:dyDescent="0.25"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8:18" x14ac:dyDescent="0.25"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</row>
    <row r="131" spans="8:18" x14ac:dyDescent="0.25"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</row>
    <row r="132" spans="8:18" x14ac:dyDescent="0.25"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</row>
    <row r="133" spans="8:18" x14ac:dyDescent="0.25"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</row>
    <row r="134" spans="8:18" x14ac:dyDescent="0.25"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</row>
    <row r="135" spans="8:18" x14ac:dyDescent="0.25"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</row>
    <row r="136" spans="8:18" x14ac:dyDescent="0.25"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</row>
    <row r="137" spans="8:18" x14ac:dyDescent="0.25"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</row>
    <row r="138" spans="8:18" x14ac:dyDescent="0.25"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</row>
    <row r="139" spans="8:18" x14ac:dyDescent="0.25"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</row>
    <row r="140" spans="8:18" x14ac:dyDescent="0.25"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</row>
    <row r="141" spans="8:18" x14ac:dyDescent="0.25"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</row>
    <row r="142" spans="8:18" x14ac:dyDescent="0.25"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</row>
    <row r="143" spans="8:18" x14ac:dyDescent="0.25"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8:18" x14ac:dyDescent="0.25"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</row>
    <row r="145" spans="8:18" x14ac:dyDescent="0.25"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</row>
    <row r="146" spans="8:18" x14ac:dyDescent="0.25"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</row>
    <row r="147" spans="8:18" x14ac:dyDescent="0.25"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</row>
    <row r="148" spans="8:18" x14ac:dyDescent="0.25"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</row>
    <row r="149" spans="8:18" x14ac:dyDescent="0.25"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</row>
    <row r="150" spans="8:18" x14ac:dyDescent="0.25"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</row>
    <row r="151" spans="8:18" x14ac:dyDescent="0.25"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</row>
    <row r="152" spans="8:18" x14ac:dyDescent="0.25"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</row>
    <row r="153" spans="8:18" x14ac:dyDescent="0.25"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</row>
    <row r="154" spans="8:18" x14ac:dyDescent="0.25"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</row>
    <row r="155" spans="8:18" x14ac:dyDescent="0.25"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</row>
    <row r="156" spans="8:18" x14ac:dyDescent="0.25"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</row>
    <row r="157" spans="8:18" x14ac:dyDescent="0.25"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</row>
    <row r="158" spans="8:18" x14ac:dyDescent="0.25"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</row>
    <row r="159" spans="8:18" x14ac:dyDescent="0.25"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8:18" x14ac:dyDescent="0.25"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8:18" x14ac:dyDescent="0.25"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</row>
    <row r="162" spans="8:18" x14ac:dyDescent="0.25"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8:18" x14ac:dyDescent="0.25"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8:18" x14ac:dyDescent="0.25"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8:18" x14ac:dyDescent="0.25"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8:18" x14ac:dyDescent="0.25"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</row>
    <row r="167" spans="8:18" x14ac:dyDescent="0.25"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8:18" x14ac:dyDescent="0.25"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8:18" x14ac:dyDescent="0.25"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8:18" x14ac:dyDescent="0.25"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8:18" x14ac:dyDescent="0.25"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8:18" x14ac:dyDescent="0.25"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8:18" x14ac:dyDescent="0.25"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8:18" x14ac:dyDescent="0.25"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8:18" x14ac:dyDescent="0.25"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8:18" x14ac:dyDescent="0.25"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8:18" x14ac:dyDescent="0.25"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8:18" x14ac:dyDescent="0.25"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8:18" x14ac:dyDescent="0.25"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</row>
    <row r="180" spans="8:18" x14ac:dyDescent="0.25"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</row>
    <row r="181" spans="8:18" x14ac:dyDescent="0.25"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</row>
    <row r="182" spans="8:18" x14ac:dyDescent="0.25"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</row>
    <row r="183" spans="8:18" x14ac:dyDescent="0.25"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</row>
    <row r="184" spans="8:18" x14ac:dyDescent="0.25"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</row>
    <row r="185" spans="8:18" x14ac:dyDescent="0.25"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</row>
    <row r="186" spans="8:18" x14ac:dyDescent="0.25"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</row>
    <row r="187" spans="8:18" x14ac:dyDescent="0.25"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</row>
    <row r="188" spans="8:18" x14ac:dyDescent="0.25"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</row>
    <row r="189" spans="8:18" x14ac:dyDescent="0.25"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</row>
    <row r="190" spans="8:18" x14ac:dyDescent="0.25"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</row>
    <row r="191" spans="8:18" x14ac:dyDescent="0.25"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</row>
    <row r="192" spans="8:18" x14ac:dyDescent="0.25"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</row>
    <row r="193" spans="8:18" x14ac:dyDescent="0.25"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</row>
    <row r="194" spans="8:18" x14ac:dyDescent="0.25"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</row>
    <row r="195" spans="8:18" x14ac:dyDescent="0.25"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</row>
    <row r="196" spans="8:18" x14ac:dyDescent="0.25"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</row>
    <row r="197" spans="8:18" x14ac:dyDescent="0.25"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</row>
    <row r="198" spans="8:18" x14ac:dyDescent="0.25"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</row>
    <row r="199" spans="8:18" x14ac:dyDescent="0.25"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</row>
    <row r="200" spans="8:18" x14ac:dyDescent="0.25"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</row>
    <row r="201" spans="8:18" x14ac:dyDescent="0.25"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</row>
    <row r="202" spans="8:18" x14ac:dyDescent="0.25"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</row>
    <row r="203" spans="8:18" x14ac:dyDescent="0.25"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</row>
    <row r="204" spans="8:18" x14ac:dyDescent="0.25"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</row>
    <row r="205" spans="8:18" x14ac:dyDescent="0.25"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</row>
    <row r="206" spans="8:18" x14ac:dyDescent="0.25"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</row>
    <row r="207" spans="8:18" x14ac:dyDescent="0.25"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</row>
    <row r="208" spans="8:18" x14ac:dyDescent="0.25"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</row>
    <row r="209" spans="8:18" x14ac:dyDescent="0.25"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</row>
    <row r="210" spans="8:18" x14ac:dyDescent="0.25"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</row>
    <row r="211" spans="8:18" x14ac:dyDescent="0.25"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</row>
    <row r="212" spans="8:18" x14ac:dyDescent="0.25"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</row>
    <row r="213" spans="8:18" x14ac:dyDescent="0.25"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</row>
    <row r="214" spans="8:18" x14ac:dyDescent="0.25"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</row>
    <row r="215" spans="8:18" x14ac:dyDescent="0.25"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</row>
    <row r="216" spans="8:18" x14ac:dyDescent="0.25"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</row>
    <row r="217" spans="8:18" x14ac:dyDescent="0.25"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</row>
    <row r="218" spans="8:18" x14ac:dyDescent="0.25"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</row>
    <row r="219" spans="8:18" x14ac:dyDescent="0.25"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</row>
    <row r="220" spans="8:18" x14ac:dyDescent="0.25"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</row>
    <row r="221" spans="8:18" x14ac:dyDescent="0.25"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</row>
    <row r="222" spans="8:18" x14ac:dyDescent="0.25"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</row>
    <row r="223" spans="8:18" x14ac:dyDescent="0.25">
      <c r="R223" s="2"/>
    </row>
  </sheetData>
  <mergeCells count="1">
    <mergeCell ref="I2:Q6"/>
  </mergeCells>
  <pageMargins left="0.7" right="0.7" top="0.75" bottom="0.75" header="0.3" footer="0.3"/>
  <pageSetup paperSize="9" scale="22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aveWorksheetPDF">
          <controlPr defaultSize="0" autoLine="0" r:id="rId5">
            <anchor moveWithCells="1">
              <from>
                <xdr:col>7</xdr:col>
                <xdr:colOff>381000</xdr:colOff>
                <xdr:row>23</xdr:row>
                <xdr:rowOff>180975</xdr:rowOff>
              </from>
              <to>
                <xdr:col>17</xdr:col>
                <xdr:colOff>295275</xdr:colOff>
                <xdr:row>28</xdr:row>
                <xdr:rowOff>142875</xdr:rowOff>
              </to>
            </anchor>
          </controlPr>
        </control>
      </mc:Choice>
      <mc:Fallback>
        <control shapeId="1027" r:id="rId4" name="SaveWorksheetPDF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MainMenu_Button1_Click">
            <anchor moveWithCells="1" sizeWithCells="1">
              <from>
                <xdr:col>7</xdr:col>
                <xdr:colOff>371475</xdr:colOff>
                <xdr:row>11</xdr:row>
                <xdr:rowOff>76200</xdr:rowOff>
              </from>
              <to>
                <xdr:col>17</xdr:col>
                <xdr:colOff>266700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Button2_Click">
            <anchor moveWithCells="1" sizeWithCells="1">
              <from>
                <xdr:col>7</xdr:col>
                <xdr:colOff>381000</xdr:colOff>
                <xdr:row>17</xdr:row>
                <xdr:rowOff>142875</xdr:rowOff>
              </from>
              <to>
                <xdr:col>17</xdr:col>
                <xdr:colOff>295275</xdr:colOff>
                <xdr:row>22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9D6CF-951F-4DC6-A2EC-1D32DA9AC6EB}">
  <sheetPr codeName="Sheet2">
    <pageSetUpPr fitToPage="1"/>
  </sheetPr>
  <dimension ref="A2:X43"/>
  <sheetViews>
    <sheetView showGridLines="0" showRowColHeaders="0" tabSelected="1" topLeftCell="B1" zoomScaleNormal="100" workbookViewId="0">
      <selection activeCell="F15" sqref="F15:H16"/>
    </sheetView>
  </sheetViews>
  <sheetFormatPr defaultRowHeight="15" x14ac:dyDescent="0.25"/>
  <cols>
    <col min="1" max="16384" width="9.140625" style="1"/>
  </cols>
  <sheetData>
    <row r="2" spans="2:24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2:2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2:24" ht="17.25" customHeight="1" x14ac:dyDescent="0.25">
      <c r="B4" s="2"/>
      <c r="C4" s="35" t="s">
        <v>1</v>
      </c>
      <c r="D4" s="36"/>
      <c r="E4" s="37"/>
      <c r="F4" s="38" t="s">
        <v>7</v>
      </c>
      <c r="G4" s="38"/>
      <c r="H4" s="38"/>
      <c r="I4" s="39" t="s">
        <v>10</v>
      </c>
      <c r="J4" s="40"/>
      <c r="K4" s="41"/>
      <c r="L4" s="42" t="s">
        <v>17</v>
      </c>
      <c r="M4" s="43"/>
      <c r="N4" s="44"/>
      <c r="O4" s="45" t="s">
        <v>11</v>
      </c>
      <c r="P4" s="45"/>
      <c r="Q4" s="45"/>
      <c r="R4" s="45" t="s">
        <v>12</v>
      </c>
      <c r="S4" s="46"/>
      <c r="T4" s="46"/>
      <c r="U4" s="45" t="s">
        <v>19</v>
      </c>
      <c r="V4" s="46"/>
      <c r="W4" s="46"/>
      <c r="X4" s="2"/>
    </row>
    <row r="5" spans="2:24" ht="16.5" customHeight="1" x14ac:dyDescent="0.25">
      <c r="B5" s="2"/>
      <c r="C5" s="47"/>
      <c r="D5" s="48"/>
      <c r="E5" s="49"/>
      <c r="F5" s="38"/>
      <c r="G5" s="38"/>
      <c r="H5" s="38"/>
      <c r="I5" s="50"/>
      <c r="J5" s="51"/>
      <c r="K5" s="52"/>
      <c r="L5" s="53"/>
      <c r="M5" s="54"/>
      <c r="N5" s="55"/>
      <c r="O5" s="45"/>
      <c r="P5" s="45"/>
      <c r="Q5" s="45"/>
      <c r="R5" s="46"/>
      <c r="S5" s="46"/>
      <c r="T5" s="46"/>
      <c r="U5" s="46"/>
      <c r="V5" s="46"/>
      <c r="W5" s="46"/>
      <c r="X5" s="2"/>
    </row>
    <row r="6" spans="2:24" x14ac:dyDescent="0.25">
      <c r="B6" s="2"/>
      <c r="C6" s="56"/>
      <c r="D6" s="57"/>
      <c r="E6" s="58"/>
      <c r="F6" s="38"/>
      <c r="G6" s="38"/>
      <c r="H6" s="38"/>
      <c r="I6" s="59"/>
      <c r="J6" s="60"/>
      <c r="K6" s="61"/>
      <c r="L6" s="62"/>
      <c r="M6" s="63"/>
      <c r="N6" s="64"/>
      <c r="O6" s="45"/>
      <c r="P6" s="45"/>
      <c r="Q6" s="45"/>
      <c r="R6" s="46"/>
      <c r="S6" s="46"/>
      <c r="T6" s="46"/>
      <c r="U6" s="46"/>
      <c r="V6" s="46"/>
      <c r="W6" s="46"/>
      <c r="X6" s="2"/>
    </row>
    <row r="7" spans="2:24" x14ac:dyDescent="0.25">
      <c r="B7" s="2"/>
      <c r="C7" s="65" t="s">
        <v>2</v>
      </c>
      <c r="D7" s="43"/>
      <c r="E7" s="44"/>
      <c r="F7" s="66">
        <v>28</v>
      </c>
      <c r="G7" s="46"/>
      <c r="H7" s="46"/>
      <c r="I7" s="67">
        <f>(F7*0.7)</f>
        <v>19.599999999999998</v>
      </c>
      <c r="J7" s="43"/>
      <c r="K7" s="44"/>
      <c r="L7" s="67">
        <f>(I7+(I7*0.4))</f>
        <v>27.439999999999998</v>
      </c>
      <c r="M7" s="43"/>
      <c r="N7" s="44"/>
      <c r="O7" s="65">
        <v>900</v>
      </c>
      <c r="P7" s="43"/>
      <c r="Q7" s="44"/>
      <c r="R7" s="68">
        <f>(O7/L7)</f>
        <v>32.798833819241985</v>
      </c>
      <c r="S7" s="68"/>
      <c r="T7" s="68"/>
      <c r="U7" s="69">
        <f>(O7*(L7-I7))</f>
        <v>7056</v>
      </c>
      <c r="V7" s="46"/>
      <c r="W7" s="46"/>
      <c r="X7" s="2"/>
    </row>
    <row r="8" spans="2:24" x14ac:dyDescent="0.25">
      <c r="B8" s="2"/>
      <c r="C8" s="62"/>
      <c r="D8" s="63"/>
      <c r="E8" s="64"/>
      <c r="F8" s="46"/>
      <c r="G8" s="46"/>
      <c r="H8" s="46"/>
      <c r="I8" s="62"/>
      <c r="J8" s="63"/>
      <c r="K8" s="64"/>
      <c r="L8" s="62"/>
      <c r="M8" s="63"/>
      <c r="N8" s="64"/>
      <c r="O8" s="62"/>
      <c r="P8" s="63"/>
      <c r="Q8" s="64"/>
      <c r="R8" s="68"/>
      <c r="S8" s="68"/>
      <c r="T8" s="68"/>
      <c r="U8" s="46"/>
      <c r="V8" s="46"/>
      <c r="W8" s="46"/>
      <c r="X8" s="2"/>
    </row>
    <row r="9" spans="2:24" ht="15" customHeight="1" x14ac:dyDescent="0.25">
      <c r="B9" s="2"/>
      <c r="C9" s="65" t="s">
        <v>3</v>
      </c>
      <c r="D9" s="70"/>
      <c r="E9" s="71"/>
      <c r="F9" s="66">
        <v>32</v>
      </c>
      <c r="G9" s="46"/>
      <c r="H9" s="46"/>
      <c r="I9" s="67">
        <f t="shared" ref="I9" si="0">(F9*0.7)</f>
        <v>22.4</v>
      </c>
      <c r="J9" s="43"/>
      <c r="K9" s="44"/>
      <c r="L9" s="67">
        <f t="shared" ref="L9" si="1">(I9+(I9*0.4))</f>
        <v>31.36</v>
      </c>
      <c r="M9" s="43"/>
      <c r="N9" s="44"/>
      <c r="O9" s="46">
        <v>850</v>
      </c>
      <c r="P9" s="46"/>
      <c r="Q9" s="46"/>
      <c r="R9" s="68">
        <f t="shared" ref="R9" si="2">(O9/L9)</f>
        <v>27.104591836734695</v>
      </c>
      <c r="S9" s="68"/>
      <c r="T9" s="68"/>
      <c r="U9" s="69">
        <f t="shared" ref="U9" si="3">(O9*(L9-I9))</f>
        <v>7616.0000000000009</v>
      </c>
      <c r="V9" s="46"/>
      <c r="W9" s="46"/>
      <c r="X9" s="2"/>
    </row>
    <row r="10" spans="2:24" ht="15" customHeight="1" x14ac:dyDescent="0.25">
      <c r="B10" s="2"/>
      <c r="C10" s="72"/>
      <c r="D10" s="73"/>
      <c r="E10" s="74"/>
      <c r="F10" s="46"/>
      <c r="G10" s="46"/>
      <c r="H10" s="46"/>
      <c r="I10" s="62"/>
      <c r="J10" s="63"/>
      <c r="K10" s="64"/>
      <c r="L10" s="62"/>
      <c r="M10" s="63"/>
      <c r="N10" s="64"/>
      <c r="O10" s="46"/>
      <c r="P10" s="46"/>
      <c r="Q10" s="46"/>
      <c r="R10" s="68"/>
      <c r="S10" s="68"/>
      <c r="T10" s="68"/>
      <c r="U10" s="46"/>
      <c r="V10" s="46"/>
      <c r="W10" s="46"/>
      <c r="X10" s="2"/>
    </row>
    <row r="11" spans="2:24" ht="15" customHeight="1" x14ac:dyDescent="0.25">
      <c r="B11" s="2"/>
      <c r="C11" s="46" t="s">
        <v>4</v>
      </c>
      <c r="D11" s="75"/>
      <c r="E11" s="75"/>
      <c r="F11" s="66">
        <v>35</v>
      </c>
      <c r="G11" s="46"/>
      <c r="H11" s="46"/>
      <c r="I11" s="67">
        <f>(F11*0.7)</f>
        <v>24.5</v>
      </c>
      <c r="J11" s="43"/>
      <c r="K11" s="44"/>
      <c r="L11" s="67">
        <f t="shared" ref="L11" si="4">(I11+(I11*0.4))</f>
        <v>34.299999999999997</v>
      </c>
      <c r="M11" s="43"/>
      <c r="N11" s="44"/>
      <c r="O11" s="46">
        <v>875</v>
      </c>
      <c r="P11" s="46"/>
      <c r="Q11" s="46"/>
      <c r="R11" s="68">
        <f t="shared" ref="R11" si="5">(O11/L11)</f>
        <v>25.510204081632654</v>
      </c>
      <c r="S11" s="68"/>
      <c r="T11" s="68"/>
      <c r="U11" s="69">
        <f t="shared" ref="U11" si="6">(O11*(L11-I11))</f>
        <v>8574.9999999999982</v>
      </c>
      <c r="V11" s="46"/>
      <c r="W11" s="46"/>
      <c r="X11" s="2"/>
    </row>
    <row r="12" spans="2:24" ht="15" customHeight="1" x14ac:dyDescent="0.25">
      <c r="B12" s="2"/>
      <c r="C12" s="75"/>
      <c r="D12" s="75"/>
      <c r="E12" s="75"/>
      <c r="F12" s="46"/>
      <c r="G12" s="46"/>
      <c r="H12" s="46"/>
      <c r="I12" s="62"/>
      <c r="J12" s="63"/>
      <c r="K12" s="64"/>
      <c r="L12" s="62"/>
      <c r="M12" s="63"/>
      <c r="N12" s="64"/>
      <c r="O12" s="46"/>
      <c r="P12" s="46"/>
      <c r="Q12" s="46"/>
      <c r="R12" s="68"/>
      <c r="S12" s="68"/>
      <c r="T12" s="68"/>
      <c r="U12" s="46"/>
      <c r="V12" s="46"/>
      <c r="W12" s="46"/>
      <c r="X12" s="2"/>
    </row>
    <row r="13" spans="2:24" ht="15" customHeight="1" x14ac:dyDescent="0.25">
      <c r="B13" s="2"/>
      <c r="C13" s="65" t="s">
        <v>5</v>
      </c>
      <c r="D13" s="70"/>
      <c r="E13" s="71"/>
      <c r="F13" s="66">
        <v>29</v>
      </c>
      <c r="G13" s="46"/>
      <c r="H13" s="46"/>
      <c r="I13" s="67">
        <f t="shared" ref="I13" si="7">(F13*0.7)</f>
        <v>20.299999999999997</v>
      </c>
      <c r="J13" s="43"/>
      <c r="K13" s="44"/>
      <c r="L13" s="67">
        <f>(I13+(I13*0.4))</f>
        <v>28.419999999999995</v>
      </c>
      <c r="M13" s="43"/>
      <c r="N13" s="44"/>
      <c r="O13" s="46">
        <v>825</v>
      </c>
      <c r="P13" s="46"/>
      <c r="Q13" s="46"/>
      <c r="R13" s="68">
        <f t="shared" ref="R13" si="8">(O13/L13)</f>
        <v>29.028852920478542</v>
      </c>
      <c r="S13" s="68"/>
      <c r="T13" s="68"/>
      <c r="U13" s="69">
        <f t="shared" ref="U13" si="9">(O13*(L13-I13))</f>
        <v>6698.9999999999982</v>
      </c>
      <c r="V13" s="46"/>
      <c r="W13" s="46"/>
      <c r="X13" s="2"/>
    </row>
    <row r="14" spans="2:24" ht="15" customHeight="1" x14ac:dyDescent="0.25">
      <c r="B14" s="2"/>
      <c r="C14" s="72"/>
      <c r="D14" s="73"/>
      <c r="E14" s="74"/>
      <c r="F14" s="46"/>
      <c r="G14" s="46"/>
      <c r="H14" s="46"/>
      <c r="I14" s="62"/>
      <c r="J14" s="63"/>
      <c r="K14" s="64"/>
      <c r="L14" s="62"/>
      <c r="M14" s="63"/>
      <c r="N14" s="64"/>
      <c r="O14" s="46"/>
      <c r="P14" s="46"/>
      <c r="Q14" s="46"/>
      <c r="R14" s="68"/>
      <c r="S14" s="68"/>
      <c r="T14" s="68"/>
      <c r="U14" s="46"/>
      <c r="V14" s="46"/>
      <c r="W14" s="46"/>
      <c r="X14" s="2"/>
    </row>
    <row r="15" spans="2:24" ht="15" customHeight="1" x14ac:dyDescent="0.25">
      <c r="B15" s="2"/>
      <c r="C15" s="46" t="s">
        <v>6</v>
      </c>
      <c r="D15" s="75"/>
      <c r="E15" s="75"/>
      <c r="F15" s="76">
        <v>31</v>
      </c>
      <c r="G15" s="43"/>
      <c r="H15" s="44"/>
      <c r="I15" s="67">
        <f t="shared" ref="I15" si="10">(F15*0.7)</f>
        <v>21.7</v>
      </c>
      <c r="J15" s="43"/>
      <c r="K15" s="44"/>
      <c r="L15" s="67">
        <f t="shared" ref="L15" si="11">(I15+(I15*0.4))</f>
        <v>30.38</v>
      </c>
      <c r="M15" s="43"/>
      <c r="N15" s="44"/>
      <c r="O15" s="46">
        <v>700</v>
      </c>
      <c r="P15" s="46"/>
      <c r="Q15" s="46"/>
      <c r="R15" s="68">
        <f t="shared" ref="R15" si="12">(O15/L15)</f>
        <v>23.041474654377883</v>
      </c>
      <c r="S15" s="68"/>
      <c r="T15" s="68"/>
      <c r="U15" s="69">
        <f t="shared" ref="U15" si="13">(O15*(L15-I15))</f>
        <v>6076</v>
      </c>
      <c r="V15" s="46"/>
      <c r="W15" s="46"/>
      <c r="X15" s="2"/>
    </row>
    <row r="16" spans="2:24" ht="15" customHeight="1" x14ac:dyDescent="0.25">
      <c r="B16" s="2"/>
      <c r="C16" s="75"/>
      <c r="D16" s="75"/>
      <c r="E16" s="75"/>
      <c r="F16" s="62"/>
      <c r="G16" s="63"/>
      <c r="H16" s="64"/>
      <c r="I16" s="62"/>
      <c r="J16" s="63"/>
      <c r="K16" s="64"/>
      <c r="L16" s="62"/>
      <c r="M16" s="63"/>
      <c r="N16" s="64"/>
      <c r="O16" s="46"/>
      <c r="P16" s="46"/>
      <c r="Q16" s="46"/>
      <c r="R16" s="68"/>
      <c r="S16" s="68"/>
      <c r="T16" s="68"/>
      <c r="U16" s="46"/>
      <c r="V16" s="46"/>
      <c r="W16" s="46"/>
      <c r="X16" s="2"/>
    </row>
    <row r="17" spans="1:24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33" t="str">
        <f>"Total Net Profit: £" &amp; SUM(U7:W16)</f>
        <v>Total Net Profit: £36022</v>
      </c>
      <c r="V17" s="34"/>
      <c r="W17" s="34"/>
      <c r="X17" s="2"/>
    </row>
    <row r="18" spans="1:24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34"/>
      <c r="V18" s="34"/>
      <c r="W18" s="34"/>
      <c r="X18" s="2"/>
    </row>
    <row r="19" spans="1:24" x14ac:dyDescent="0.25">
      <c r="B19" s="2"/>
      <c r="C19" s="22" t="s">
        <v>8</v>
      </c>
      <c r="D19" s="19"/>
      <c r="E19" s="19"/>
      <c r="F19" s="22" t="s">
        <v>9</v>
      </c>
      <c r="G19" s="19"/>
      <c r="H19" s="19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x14ac:dyDescent="0.25">
      <c r="B20" s="2"/>
      <c r="C20" s="19"/>
      <c r="D20" s="19"/>
      <c r="E20" s="19"/>
      <c r="F20" s="19"/>
      <c r="G20" s="19"/>
      <c r="H20" s="19"/>
      <c r="I20" s="2"/>
      <c r="J20" s="2"/>
      <c r="K20" s="2"/>
      <c r="L20" s="2"/>
      <c r="M20" s="2"/>
      <c r="N20" s="8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x14ac:dyDescent="0.25">
      <c r="B21" s="2"/>
      <c r="C21" s="19"/>
      <c r="D21" s="19"/>
      <c r="E21" s="19"/>
      <c r="F21" s="19"/>
      <c r="G21" s="19"/>
      <c r="H21" s="19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x14ac:dyDescent="0.25">
      <c r="B22" s="2"/>
      <c r="C22" s="2"/>
      <c r="D22" s="78">
        <v>0.70000000000000095</v>
      </c>
      <c r="E22" s="78"/>
      <c r="F22" s="2"/>
      <c r="G22" s="77">
        <v>42</v>
      </c>
      <c r="H22" s="77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6"/>
      <c r="B23" s="2"/>
      <c r="C23" s="2"/>
      <c r="D23" s="78"/>
      <c r="E23" s="78"/>
      <c r="F23" s="2"/>
      <c r="G23" s="77"/>
      <c r="H23" s="77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9"/>
      <c r="T24" s="2"/>
      <c r="U24" s="2"/>
      <c r="V24" s="2"/>
      <c r="W24" s="2"/>
      <c r="X24" s="2"/>
    </row>
    <row r="25" spans="1:24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ht="17.25" customHeight="1" x14ac:dyDescent="0.25">
      <c r="B26" s="2"/>
      <c r="C26" s="28" t="s">
        <v>13</v>
      </c>
      <c r="D26" s="28"/>
      <c r="E26" s="28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x14ac:dyDescent="0.25">
      <c r="B27" s="2"/>
      <c r="C27" s="28"/>
      <c r="D27" s="28"/>
      <c r="E27" s="28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15" customHeight="1" x14ac:dyDescent="0.25">
      <c r="B29" s="2"/>
      <c r="C29" s="27" t="s">
        <v>14</v>
      </c>
      <c r="D29" s="18"/>
      <c r="E29" s="18"/>
      <c r="F29" s="27" t="s">
        <v>15</v>
      </c>
      <c r="G29" s="27"/>
      <c r="H29" s="27"/>
      <c r="I29" s="23" t="s">
        <v>16</v>
      </c>
      <c r="J29" s="13"/>
      <c r="K29" s="14"/>
      <c r="L29" s="27" t="s">
        <v>18</v>
      </c>
      <c r="M29" s="19"/>
      <c r="N29" s="19"/>
      <c r="O29" s="2"/>
      <c r="P29" s="30" t="s">
        <v>20</v>
      </c>
      <c r="Q29" s="31"/>
      <c r="R29" s="31"/>
      <c r="S29" s="2"/>
      <c r="T29" s="2"/>
      <c r="U29" s="2"/>
      <c r="V29" s="2"/>
      <c r="W29" s="2"/>
      <c r="X29" s="2"/>
    </row>
    <row r="30" spans="1:24" ht="15" customHeight="1" x14ac:dyDescent="0.25">
      <c r="B30" s="2"/>
      <c r="C30" s="18"/>
      <c r="D30" s="18"/>
      <c r="E30" s="18"/>
      <c r="F30" s="27"/>
      <c r="G30" s="27"/>
      <c r="H30" s="27"/>
      <c r="I30" s="24"/>
      <c r="J30" s="25"/>
      <c r="K30" s="26"/>
      <c r="L30" s="19"/>
      <c r="M30" s="19"/>
      <c r="N30" s="19"/>
      <c r="O30" s="2"/>
      <c r="P30" s="30"/>
      <c r="Q30" s="31"/>
      <c r="R30" s="31"/>
      <c r="S30" s="2"/>
      <c r="T30" s="2"/>
      <c r="U30" s="2"/>
      <c r="V30" s="2"/>
      <c r="W30" s="2"/>
      <c r="X30" s="2"/>
    </row>
    <row r="31" spans="1:24" ht="15" customHeight="1" x14ac:dyDescent="0.25">
      <c r="B31" s="2"/>
      <c r="C31" s="18"/>
      <c r="D31" s="18"/>
      <c r="E31" s="18"/>
      <c r="F31" s="27"/>
      <c r="G31" s="27"/>
      <c r="H31" s="27"/>
      <c r="I31" s="15"/>
      <c r="J31" s="16"/>
      <c r="K31" s="17"/>
      <c r="L31" s="19"/>
      <c r="M31" s="19"/>
      <c r="N31" s="19"/>
      <c r="O31" s="2"/>
      <c r="P31" s="30"/>
      <c r="Q31" s="31"/>
      <c r="R31" s="31"/>
      <c r="S31" s="2"/>
      <c r="T31" s="2"/>
      <c r="U31" s="2"/>
      <c r="V31" s="2"/>
      <c r="W31" s="2"/>
      <c r="X31" s="2"/>
    </row>
    <row r="32" spans="1:24" ht="15" customHeight="1" x14ac:dyDescent="0.25">
      <c r="B32" s="2"/>
      <c r="C32" s="18" t="s">
        <v>2</v>
      </c>
      <c r="D32" s="18"/>
      <c r="E32" s="18"/>
      <c r="F32" s="20">
        <f>F7*D22</f>
        <v>19.600000000000026</v>
      </c>
      <c r="G32" s="20"/>
      <c r="H32" s="20"/>
      <c r="I32" s="12">
        <f>(F32+(F32*G22%))</f>
        <v>27.832000000000036</v>
      </c>
      <c r="J32" s="13"/>
      <c r="K32" s="14"/>
      <c r="L32" s="12">
        <f>(I32-F32)</f>
        <v>8.23200000000001</v>
      </c>
      <c r="M32" s="13"/>
      <c r="N32" s="14"/>
      <c r="O32" s="2"/>
      <c r="P32" s="29" t="str">
        <f>IF(SUM(L32:N41)&lt;40,"Increase Profit Margin","Keep Sales Price")</f>
        <v>Keep Sales Price</v>
      </c>
      <c r="Q32" s="13"/>
      <c r="R32" s="14"/>
      <c r="S32" s="2"/>
      <c r="T32" s="2"/>
      <c r="U32" s="2"/>
      <c r="V32" s="2"/>
      <c r="W32" s="2"/>
      <c r="X32" s="2"/>
    </row>
    <row r="33" spans="2:24" ht="15" customHeight="1" x14ac:dyDescent="0.25">
      <c r="B33" s="2"/>
      <c r="C33" s="18"/>
      <c r="D33" s="18"/>
      <c r="E33" s="18"/>
      <c r="F33" s="20"/>
      <c r="G33" s="20"/>
      <c r="H33" s="20"/>
      <c r="I33" s="15"/>
      <c r="J33" s="16"/>
      <c r="K33" s="17"/>
      <c r="L33" s="15"/>
      <c r="M33" s="16"/>
      <c r="N33" s="17"/>
      <c r="O33" s="2"/>
      <c r="P33" s="24"/>
      <c r="Q33" s="25"/>
      <c r="R33" s="26"/>
      <c r="S33" s="32"/>
      <c r="T33" s="32"/>
      <c r="U33" s="2"/>
      <c r="V33" s="2"/>
      <c r="W33" s="2"/>
      <c r="X33" s="2"/>
    </row>
    <row r="34" spans="2:24" ht="15" customHeight="1" x14ac:dyDescent="0.25">
      <c r="B34" s="2"/>
      <c r="C34" s="21" t="s">
        <v>3</v>
      </c>
      <c r="D34" s="21"/>
      <c r="E34" s="21"/>
      <c r="F34" s="20">
        <f>F9*D22</f>
        <v>22.400000000000031</v>
      </c>
      <c r="G34" s="20"/>
      <c r="H34" s="20"/>
      <c r="I34" s="12">
        <f>(F34+(F34*G22%))</f>
        <v>31.808000000000042</v>
      </c>
      <c r="J34" s="13"/>
      <c r="K34" s="14"/>
      <c r="L34" s="12">
        <f t="shared" ref="L34" si="14">(I34-F34)</f>
        <v>9.4080000000000119</v>
      </c>
      <c r="M34" s="13"/>
      <c r="N34" s="14"/>
      <c r="O34" s="2"/>
      <c r="P34" s="15"/>
      <c r="Q34" s="16"/>
      <c r="R34" s="17"/>
      <c r="S34" s="32"/>
      <c r="T34" s="32"/>
      <c r="U34" s="2"/>
      <c r="V34" s="2"/>
      <c r="W34" s="2"/>
      <c r="X34" s="2"/>
    </row>
    <row r="35" spans="2:24" ht="15" customHeight="1" x14ac:dyDescent="0.25">
      <c r="B35" s="2"/>
      <c r="C35" s="21"/>
      <c r="D35" s="21"/>
      <c r="E35" s="21"/>
      <c r="F35" s="20"/>
      <c r="G35" s="20"/>
      <c r="H35" s="20"/>
      <c r="I35" s="15"/>
      <c r="J35" s="16"/>
      <c r="K35" s="17"/>
      <c r="L35" s="15"/>
      <c r="M35" s="16"/>
      <c r="N35" s="17"/>
      <c r="O35" s="2"/>
      <c r="P35" s="2"/>
      <c r="Q35" s="2"/>
      <c r="R35" s="4"/>
      <c r="S35" s="32"/>
      <c r="T35" s="32"/>
      <c r="U35" s="2"/>
      <c r="V35" s="2"/>
      <c r="W35" s="2"/>
      <c r="X35" s="2"/>
    </row>
    <row r="36" spans="2:24" ht="15" customHeight="1" x14ac:dyDescent="0.25">
      <c r="B36" s="2"/>
      <c r="C36" s="18" t="s">
        <v>4</v>
      </c>
      <c r="D36" s="18"/>
      <c r="E36" s="18"/>
      <c r="F36" s="20">
        <f>F11*D22</f>
        <v>24.500000000000032</v>
      </c>
      <c r="G36" s="20"/>
      <c r="H36" s="20"/>
      <c r="I36" s="12">
        <f>(F36+(F36*G22%))</f>
        <v>34.790000000000049</v>
      </c>
      <c r="J36" s="13"/>
      <c r="K36" s="14"/>
      <c r="L36" s="12">
        <f t="shared" ref="L36" si="15">(I36-F36)</f>
        <v>10.290000000000017</v>
      </c>
      <c r="M36" s="13"/>
      <c r="N36" s="14"/>
      <c r="O36" s="2"/>
      <c r="P36" s="2"/>
      <c r="Q36" s="2"/>
      <c r="R36" s="4"/>
      <c r="S36" s="4"/>
      <c r="T36" s="4"/>
      <c r="U36" s="2"/>
      <c r="V36" s="2"/>
      <c r="W36" s="2"/>
      <c r="X36" s="2"/>
    </row>
    <row r="37" spans="2:24" ht="15" customHeight="1" x14ac:dyDescent="0.25">
      <c r="B37" s="2"/>
      <c r="C37" s="18"/>
      <c r="D37" s="18"/>
      <c r="E37" s="18"/>
      <c r="F37" s="20"/>
      <c r="G37" s="20"/>
      <c r="H37" s="20"/>
      <c r="I37" s="15"/>
      <c r="J37" s="16"/>
      <c r="K37" s="17"/>
      <c r="L37" s="15"/>
      <c r="M37" s="16"/>
      <c r="N37" s="17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2:24" ht="15" customHeight="1" x14ac:dyDescent="0.25">
      <c r="B38" s="2"/>
      <c r="C38" s="18" t="s">
        <v>5</v>
      </c>
      <c r="D38" s="18"/>
      <c r="E38" s="18"/>
      <c r="F38" s="20">
        <f>F13*D22</f>
        <v>20.300000000000029</v>
      </c>
      <c r="G38" s="20"/>
      <c r="H38" s="20"/>
      <c r="I38" s="12">
        <f>(F38+(F38*G22%))</f>
        <v>28.826000000000043</v>
      </c>
      <c r="J38" s="13"/>
      <c r="K38" s="14"/>
      <c r="L38" s="12">
        <f>(I38-F38)</f>
        <v>8.526000000000014</v>
      </c>
      <c r="M38" s="13"/>
      <c r="N38" s="14"/>
      <c r="O38" s="2"/>
      <c r="P38" s="2"/>
      <c r="Q38" s="2"/>
      <c r="R38" s="5"/>
      <c r="S38" s="5"/>
      <c r="T38" s="5"/>
      <c r="U38" s="2"/>
      <c r="V38" s="2"/>
      <c r="W38" s="2"/>
      <c r="X38" s="2"/>
    </row>
    <row r="39" spans="2:24" ht="15" customHeight="1" x14ac:dyDescent="0.25">
      <c r="B39" s="2"/>
      <c r="C39" s="18"/>
      <c r="D39" s="18"/>
      <c r="E39" s="18"/>
      <c r="F39" s="20"/>
      <c r="G39" s="20"/>
      <c r="H39" s="20"/>
      <c r="I39" s="15"/>
      <c r="J39" s="16"/>
      <c r="K39" s="17"/>
      <c r="L39" s="15"/>
      <c r="M39" s="16"/>
      <c r="N39" s="17"/>
      <c r="O39" s="2"/>
      <c r="P39" s="2"/>
      <c r="Q39" s="2"/>
      <c r="R39" s="5"/>
      <c r="S39" s="5"/>
      <c r="T39" s="5"/>
      <c r="U39" s="2"/>
      <c r="V39" s="2"/>
      <c r="W39" s="2"/>
      <c r="X39" s="2"/>
    </row>
    <row r="40" spans="2:24" ht="15" customHeight="1" x14ac:dyDescent="0.25">
      <c r="B40" s="2"/>
      <c r="C40" s="18" t="s">
        <v>6</v>
      </c>
      <c r="D40" s="19"/>
      <c r="E40" s="19"/>
      <c r="F40" s="20">
        <f>F15*D22</f>
        <v>21.700000000000031</v>
      </c>
      <c r="G40" s="20"/>
      <c r="H40" s="20"/>
      <c r="I40" s="12">
        <f>(F40+(F40*G22%))</f>
        <v>30.814000000000043</v>
      </c>
      <c r="J40" s="13"/>
      <c r="K40" s="14"/>
      <c r="L40" s="12">
        <f t="shared" ref="L40" si="16">(I40-F40)</f>
        <v>9.1140000000000114</v>
      </c>
      <c r="M40" s="13"/>
      <c r="N40" s="14"/>
      <c r="O40" s="2"/>
      <c r="P40" s="2"/>
      <c r="Q40" s="2"/>
      <c r="R40" s="5"/>
      <c r="S40" s="5"/>
      <c r="T40" s="5"/>
      <c r="U40" s="2"/>
      <c r="V40" s="2"/>
      <c r="W40" s="2"/>
      <c r="X40" s="2"/>
    </row>
    <row r="41" spans="2:24" ht="15" customHeight="1" x14ac:dyDescent="0.25">
      <c r="B41" s="2"/>
      <c r="C41" s="19"/>
      <c r="D41" s="19"/>
      <c r="E41" s="19"/>
      <c r="F41" s="20"/>
      <c r="G41" s="20"/>
      <c r="H41" s="20"/>
      <c r="I41" s="15"/>
      <c r="J41" s="16"/>
      <c r="K41" s="17"/>
      <c r="L41" s="15"/>
      <c r="M41" s="16"/>
      <c r="N41" s="17"/>
      <c r="O41" s="2"/>
      <c r="P41" s="2"/>
      <c r="Q41" s="2"/>
      <c r="R41" s="5"/>
      <c r="S41" s="5"/>
      <c r="T41" s="5"/>
      <c r="U41" s="2"/>
      <c r="V41" s="2"/>
      <c r="W41" s="2"/>
      <c r="X41" s="2"/>
    </row>
    <row r="42" spans="2:24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2:24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</sheetData>
  <sheetProtection sheet="1" objects="1" scenarios="1"/>
  <mergeCells count="75">
    <mergeCell ref="P29:R31"/>
    <mergeCell ref="P32:R34"/>
    <mergeCell ref="S33:T35"/>
    <mergeCell ref="U4:W6"/>
    <mergeCell ref="U7:W8"/>
    <mergeCell ref="U9:W10"/>
    <mergeCell ref="U11:W12"/>
    <mergeCell ref="U13:W14"/>
    <mergeCell ref="U15:W16"/>
    <mergeCell ref="U17:W18"/>
    <mergeCell ref="O4:Q6"/>
    <mergeCell ref="R4:T6"/>
    <mergeCell ref="R7:T8"/>
    <mergeCell ref="R9:T10"/>
    <mergeCell ref="O7:Q8"/>
    <mergeCell ref="C15:E16"/>
    <mergeCell ref="F4:H6"/>
    <mergeCell ref="F7:H8"/>
    <mergeCell ref="F9:H10"/>
    <mergeCell ref="F11:H12"/>
    <mergeCell ref="F13:H14"/>
    <mergeCell ref="F15:H16"/>
    <mergeCell ref="C4:E6"/>
    <mergeCell ref="C7:E8"/>
    <mergeCell ref="C9:E10"/>
    <mergeCell ref="C11:E12"/>
    <mergeCell ref="C13:E14"/>
    <mergeCell ref="I4:K6"/>
    <mergeCell ref="L4:N6"/>
    <mergeCell ref="O9:Q10"/>
    <mergeCell ref="L9:N10"/>
    <mergeCell ref="L11:N12"/>
    <mergeCell ref="I7:K8"/>
    <mergeCell ref="I9:K10"/>
    <mergeCell ref="I11:K12"/>
    <mergeCell ref="L7:N8"/>
    <mergeCell ref="I13:K14"/>
    <mergeCell ref="I15:K16"/>
    <mergeCell ref="R11:T12"/>
    <mergeCell ref="R13:T14"/>
    <mergeCell ref="R15:T16"/>
    <mergeCell ref="L13:N14"/>
    <mergeCell ref="L15:N16"/>
    <mergeCell ref="O11:Q12"/>
    <mergeCell ref="O13:Q14"/>
    <mergeCell ref="O15:Q16"/>
    <mergeCell ref="F19:H21"/>
    <mergeCell ref="I29:K31"/>
    <mergeCell ref="L29:N31"/>
    <mergeCell ref="C32:E33"/>
    <mergeCell ref="F32:H33"/>
    <mergeCell ref="I32:K33"/>
    <mergeCell ref="L32:N33"/>
    <mergeCell ref="C29:E31"/>
    <mergeCell ref="F29:H31"/>
    <mergeCell ref="C26:E27"/>
    <mergeCell ref="D22:E23"/>
    <mergeCell ref="G22:H23"/>
    <mergeCell ref="C19:E21"/>
    <mergeCell ref="C34:E35"/>
    <mergeCell ref="F34:H35"/>
    <mergeCell ref="I34:K35"/>
    <mergeCell ref="L34:N35"/>
    <mergeCell ref="C36:E37"/>
    <mergeCell ref="L36:N37"/>
    <mergeCell ref="L40:N41"/>
    <mergeCell ref="C40:E41"/>
    <mergeCell ref="F36:H37"/>
    <mergeCell ref="F38:H39"/>
    <mergeCell ref="F40:H41"/>
    <mergeCell ref="I36:K37"/>
    <mergeCell ref="I38:K39"/>
    <mergeCell ref="I40:K41"/>
    <mergeCell ref="C38:E39"/>
    <mergeCell ref="L38:N39"/>
  </mergeCells>
  <conditionalFormatting sqref="P32:R34">
    <cfRule type="cellIs" dxfId="4" priority="5" operator="greaterThan">
      <formula>$P$32</formula>
    </cfRule>
    <cfRule type="cellIs" dxfId="3" priority="4" operator="lessThan">
      <formula>$P$32</formula>
    </cfRule>
    <cfRule type="containsText" dxfId="2" priority="3" operator="containsText" text="Increase Profit margin">
      <formula>NOT(ISERROR(SEARCH("Increase Profit margin",P32)))</formula>
    </cfRule>
    <cfRule type="containsText" dxfId="1" priority="2" operator="containsText" text="Keep Price">
      <formula>NOT(ISERROR(SEARCH("Keep Price",P32)))</formula>
    </cfRule>
    <cfRule type="containsText" dxfId="0" priority="1" operator="containsText" text="Keep Sales price">
      <formula>NOT(ISERROR(SEARCH("Keep Sales price",P32)))</formula>
    </cfRule>
  </conditionalFormatting>
  <dataValidations count="2">
    <dataValidation allowBlank="1" showInputMessage="1" showErrorMessage="1" promptTitle="Enter Exchange Rate" prompt="Use the buttons to the left to change the value of the exchange rate" sqref="D22:E23" xr:uid="{F6A0FF65-D907-4464-9339-731572B95D4F}"/>
    <dataValidation allowBlank="1" showInputMessage="1" showErrorMessage="1" promptTitle="Enter Profit Margin" prompt="Use the buttons to the left to change the value of the profit margin" sqref="G22:H23" xr:uid="{A76E270A-A532-4715-8AAD-D1DDC209F674}"/>
  </dataValidations>
  <pageMargins left="0.7" right="0.7" top="0.75" bottom="0.75" header="0.3" footer="0.3"/>
  <pageSetup paperSize="9" scale="3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mandButton1">
          <controlPr defaultSize="0" autoLine="0" autoPict="0" r:id="rId5">
            <anchor moveWithCells="1">
              <from>
                <xdr:col>20</xdr:col>
                <xdr:colOff>247650</xdr:colOff>
                <xdr:row>32</xdr:row>
                <xdr:rowOff>171450</xdr:rowOff>
              </from>
              <to>
                <xdr:col>23</xdr:col>
                <xdr:colOff>190500</xdr:colOff>
                <xdr:row>36</xdr:row>
                <xdr:rowOff>142875</xdr:rowOff>
              </to>
            </anchor>
          </controlPr>
        </control>
      </mc:Choice>
      <mc:Fallback>
        <control shapeId="2063" r:id="rId4" name="CommandButton1"/>
      </mc:Fallback>
    </mc:AlternateContent>
    <mc:AlternateContent xmlns:mc="http://schemas.openxmlformats.org/markup-compatibility/2006">
      <mc:Choice Requires="x14">
        <control shapeId="2057" r:id="rId6" name="sbExchangeR">
          <controlPr locked="0" defaultSize="0" autoLine="0" r:id="rId7">
            <anchor moveWithCells="1">
              <from>
                <xdr:col>2</xdr:col>
                <xdr:colOff>9525</xdr:colOff>
                <xdr:row>21</xdr:row>
                <xdr:rowOff>9525</xdr:rowOff>
              </from>
              <to>
                <xdr:col>3</xdr:col>
                <xdr:colOff>0</xdr:colOff>
                <xdr:row>23</xdr:row>
                <xdr:rowOff>9525</xdr:rowOff>
              </to>
            </anchor>
          </controlPr>
        </control>
      </mc:Choice>
      <mc:Fallback>
        <control shapeId="2057" r:id="rId6" name="sbExchangeR"/>
      </mc:Fallback>
    </mc:AlternateContent>
    <mc:AlternateContent xmlns:mc="http://schemas.openxmlformats.org/markup-compatibility/2006">
      <mc:Choice Requires="x14">
        <control shapeId="2059" r:id="rId8" name="Spinner 11">
          <controlPr locked="0" defaultSize="0" autoPict="0">
            <anchor moveWithCells="1" sizeWithCells="1">
              <from>
                <xdr:col>5</xdr:col>
                <xdr:colOff>9525</xdr:colOff>
                <xdr:row>21</xdr:row>
                <xdr:rowOff>19050</xdr:rowOff>
              </from>
              <to>
                <xdr:col>5</xdr:col>
                <xdr:colOff>600075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9" name="Button 12">
          <controlPr defaultSize="0" print="0" autoFill="0" autoPict="0" macro="[0]!Button12_Click">
            <anchor moveWithCells="1" sizeWithCells="1">
              <from>
                <xdr:col>20</xdr:col>
                <xdr:colOff>257175</xdr:colOff>
                <xdr:row>37</xdr:row>
                <xdr:rowOff>133350</xdr:rowOff>
              </from>
              <to>
                <xdr:col>23</xdr:col>
                <xdr:colOff>171450</xdr:colOff>
                <xdr:row>41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A893F-1B5A-45B0-BBB6-E86559F607BA}">
  <sheetPr codeName="Sheet3">
    <pageSetUpPr fitToPage="1"/>
  </sheetPr>
  <dimension ref="B3:S37"/>
  <sheetViews>
    <sheetView zoomScaleNormal="100" workbookViewId="0">
      <selection activeCell="T34" sqref="T34"/>
    </sheetView>
  </sheetViews>
  <sheetFormatPr defaultRowHeight="15" x14ac:dyDescent="0.25"/>
  <cols>
    <col min="1" max="16384" width="9.140625" style="1"/>
  </cols>
  <sheetData>
    <row r="3" spans="2:19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</sheetData>
  <pageMargins left="0.7" right="0.7" top="0.75" bottom="0.75" header="0.3" footer="0.3"/>
  <pageSetup paperSize="9" scale="50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14</xdr:col>
                <xdr:colOff>47625</xdr:colOff>
                <xdr:row>33</xdr:row>
                <xdr:rowOff>19050</xdr:rowOff>
              </from>
              <to>
                <xdr:col>16</xdr:col>
                <xdr:colOff>219075</xdr:colOff>
                <xdr:row>36</xdr:row>
                <xdr:rowOff>95250</xdr:rowOff>
              </to>
            </anchor>
          </controlPr>
        </control>
      </mc:Choice>
      <mc:Fallback>
        <control shapeId="3075" r:id="rId4" name="CommandButton1"/>
      </mc:Fallback>
    </mc:AlternateContent>
    <mc:AlternateContent xmlns:mc="http://schemas.openxmlformats.org/markup-compatibility/2006">
      <mc:Choice Requires="x14">
        <control shapeId="3074" r:id="rId6" name="Button 2">
          <controlPr defaultSize="0" print="0" autoFill="0" autoPict="0" macro="[0]!Button12_Click">
            <anchor moveWithCells="1" sizeWithCells="1">
              <from>
                <xdr:col>16</xdr:col>
                <xdr:colOff>276225</xdr:colOff>
                <xdr:row>33</xdr:row>
                <xdr:rowOff>19050</xdr:rowOff>
              </from>
              <to>
                <xdr:col>18</xdr:col>
                <xdr:colOff>466725</xdr:colOff>
                <xdr:row>36</xdr:row>
                <xdr:rowOff>76200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Menu</vt:lpstr>
      <vt:lpstr>Product &amp; Sales Data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Talocka</dc:creator>
  <cp:lastModifiedBy>David Talocka</cp:lastModifiedBy>
  <cp:lastPrinted>2023-04-28T03:43:07Z</cp:lastPrinted>
  <dcterms:created xsi:type="dcterms:W3CDTF">2023-04-24T17:26:51Z</dcterms:created>
  <dcterms:modified xsi:type="dcterms:W3CDTF">2023-04-28T21:33:03Z</dcterms:modified>
</cp:coreProperties>
</file>